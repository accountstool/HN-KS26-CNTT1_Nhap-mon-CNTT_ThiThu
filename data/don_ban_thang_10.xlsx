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Ban" sheetId="1" state="visible" r:id="rId1"/>
    <sheet xmlns:r="http://schemas.openxmlformats.org/officeDocument/2006/relationships" name="SanPham" sheetId="2" state="visible" r:id="rId2"/>
  </sheets>
  <definedNames>
    <definedName name="_xlnm._FilterDatabase" localSheetId="0" hidden="1">'DonBan'!$A$1:$G$16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ma_db</t>
        </is>
      </c>
      <c r="B1" t="inlineStr">
        <is>
          <t>ngay_ban</t>
        </is>
      </c>
      <c r="C1" t="inlineStr">
        <is>
          <t>ma_sp</t>
        </is>
      </c>
      <c r="D1" t="inlineStr">
        <is>
          <t>sl_ban</t>
        </is>
      </c>
      <c r="E1" t="inlineStr">
        <is>
          <t>ten_sp</t>
        </is>
      </c>
      <c r="F1" t="inlineStr">
        <is>
          <t>gia_ban</t>
        </is>
      </c>
      <c r="G1" t="inlineStr">
        <is>
          <t>tien_ban</t>
        </is>
      </c>
    </row>
    <row r="2">
      <c r="A2" t="inlineStr">
        <is>
          <t>DB001</t>
        </is>
      </c>
      <c r="B2" t="inlineStr">
        <is>
          <t>2025-10-01</t>
        </is>
      </c>
      <c r="C2" t="inlineStr">
        <is>
          <t>KE01</t>
        </is>
      </c>
      <c r="D2" t="n">
        <v>4</v>
      </c>
      <c r="E2">
        <f>VLOOKUP(C2,SanPham!$A$2:$C$8,2,FALSE)</f>
        <v/>
      </c>
      <c r="F2">
        <f>VLOOKUP(C2,SanPham!$A$2:$C$8,3,FALSE)</f>
        <v/>
      </c>
      <c r="G2">
        <f>D2*F2</f>
        <v/>
      </c>
    </row>
    <row r="3">
      <c r="A3" t="inlineStr">
        <is>
          <t>DB002</t>
        </is>
      </c>
      <c r="B3" t="inlineStr">
        <is>
          <t>2025-10-02</t>
        </is>
      </c>
      <c r="C3" t="inlineStr">
        <is>
          <t>BA01</t>
        </is>
      </c>
      <c r="D3" t="n">
        <v>4</v>
      </c>
      <c r="E3">
        <f>VLOOKUP(C3,SanPham!$A$2:$C$8,2,FALSE)</f>
        <v/>
      </c>
      <c r="F3">
        <f>VLOOKUP(C3,SanPham!$A$2:$C$8,3,FALSE)</f>
        <v/>
      </c>
      <c r="G3">
        <f>D3*F3</f>
        <v/>
      </c>
    </row>
    <row r="4" hidden="1">
      <c r="A4" t="inlineStr">
        <is>
          <t>DB003</t>
        </is>
      </c>
      <c r="B4" t="inlineStr">
        <is>
          <t>2025-10-03</t>
        </is>
      </c>
      <c r="C4" t="inlineStr">
        <is>
          <t>VO01</t>
        </is>
      </c>
      <c r="D4" t="n">
        <v>2</v>
      </c>
      <c r="E4">
        <f>VLOOKUP(C4,SanPham!$A$2:$C$8,2,FALSE)</f>
        <v/>
      </c>
      <c r="F4">
        <f>VLOOKUP(C4,SanPham!$A$2:$C$8,3,FALSE)</f>
        <v/>
      </c>
      <c r="G4">
        <f>D4*F4</f>
        <v/>
      </c>
    </row>
    <row r="5">
      <c r="A5" t="inlineStr">
        <is>
          <t>DB004</t>
        </is>
      </c>
      <c r="B5" t="inlineStr">
        <is>
          <t>2025-10-04</t>
        </is>
      </c>
      <c r="C5" t="inlineStr">
        <is>
          <t>KE01</t>
        </is>
      </c>
      <c r="D5" t="n">
        <v>5</v>
      </c>
      <c r="E5">
        <f>VLOOKUP(C5,SanPham!$A$2:$C$8,2,FALSE)</f>
        <v/>
      </c>
      <c r="F5">
        <f>VLOOKUP(C5,SanPham!$A$2:$C$8,3,FALSE)</f>
        <v/>
      </c>
      <c r="G5">
        <f>D5*F5</f>
        <v/>
      </c>
    </row>
    <row r="6" hidden="1">
      <c r="A6" t="inlineStr">
        <is>
          <t>DB005</t>
        </is>
      </c>
      <c r="B6" t="inlineStr">
        <is>
          <t>2025-10-05</t>
        </is>
      </c>
      <c r="C6" t="inlineStr">
        <is>
          <t>BB01</t>
        </is>
      </c>
      <c r="D6" t="n">
        <v>1</v>
      </c>
      <c r="E6">
        <f>VLOOKUP(C6,SanPham!$A$2:$C$8,2,FALSE)</f>
        <v/>
      </c>
      <c r="F6">
        <f>VLOOKUP(C6,SanPham!$A$2:$C$8,3,FALSE)</f>
        <v/>
      </c>
      <c r="G6">
        <f>D6*F6</f>
        <v/>
      </c>
    </row>
    <row r="7" hidden="1">
      <c r="A7" t="inlineStr">
        <is>
          <t>DB006</t>
        </is>
      </c>
      <c r="B7" t="inlineStr">
        <is>
          <t>2025-10-06</t>
        </is>
      </c>
      <c r="C7" t="inlineStr">
        <is>
          <t>BB01</t>
        </is>
      </c>
      <c r="D7" t="n">
        <v>4</v>
      </c>
      <c r="E7">
        <f>VLOOKUP(C7,SanPham!$A$2:$C$8,2,FALSE)</f>
        <v/>
      </c>
      <c r="F7">
        <f>VLOOKUP(C7,SanPham!$A$2:$C$8,3,FALSE)</f>
        <v/>
      </c>
      <c r="G7">
        <f>D7*F7</f>
        <v/>
      </c>
    </row>
    <row r="8">
      <c r="A8" t="inlineStr">
        <is>
          <t>DB007</t>
        </is>
      </c>
      <c r="B8" t="inlineStr">
        <is>
          <t>2025-10-07</t>
        </is>
      </c>
      <c r="C8" t="inlineStr">
        <is>
          <t>BA01</t>
        </is>
      </c>
      <c r="D8" t="n">
        <v>5</v>
      </c>
      <c r="E8">
        <f>VLOOKUP(C8,SanPham!$A$2:$C$8,2,FALSE)</f>
        <v/>
      </c>
      <c r="F8">
        <f>VLOOKUP(C8,SanPham!$A$2:$C$8,3,FALSE)</f>
        <v/>
      </c>
      <c r="G8">
        <f>D8*F8</f>
        <v/>
      </c>
    </row>
    <row r="9" hidden="1">
      <c r="A9" t="inlineStr">
        <is>
          <t>DB008</t>
        </is>
      </c>
      <c r="B9" t="inlineStr">
        <is>
          <t>2025-10-08</t>
        </is>
      </c>
      <c r="C9" t="inlineStr">
        <is>
          <t>VO01</t>
        </is>
      </c>
      <c r="D9" t="n">
        <v>3</v>
      </c>
      <c r="E9">
        <f>VLOOKUP(C9,SanPham!$A$2:$C$8,2,FALSE)</f>
        <v/>
      </c>
      <c r="F9">
        <f>VLOOKUP(C9,SanPham!$A$2:$C$8,3,FALSE)</f>
        <v/>
      </c>
      <c r="G9">
        <f>D9*F9</f>
        <v/>
      </c>
    </row>
    <row r="10">
      <c r="A10" t="inlineStr">
        <is>
          <t>DB009</t>
        </is>
      </c>
      <c r="B10" t="inlineStr">
        <is>
          <t>2025-10-09</t>
        </is>
      </c>
      <c r="C10" t="inlineStr">
        <is>
          <t>BA01</t>
        </is>
      </c>
      <c r="D10" t="n">
        <v>2</v>
      </c>
      <c r="E10">
        <f>VLOOKUP(C10,SanPham!$A$2:$C$8,2,FALSE)</f>
        <v/>
      </c>
      <c r="F10">
        <f>VLOOKUP(C10,SanPham!$A$2:$C$8,3,FALSE)</f>
        <v/>
      </c>
      <c r="G10">
        <f>D10*F10</f>
        <v/>
      </c>
    </row>
    <row r="11">
      <c r="A11" t="inlineStr">
        <is>
          <t>DB010</t>
        </is>
      </c>
      <c r="B11" t="inlineStr">
        <is>
          <t>2025-10-10</t>
        </is>
      </c>
      <c r="C11" t="inlineStr">
        <is>
          <t>MT01</t>
        </is>
      </c>
      <c r="D11" t="n">
        <v>2</v>
      </c>
      <c r="E11">
        <f>VLOOKUP(C11,SanPham!$A$2:$C$8,2,FALSE)</f>
        <v/>
      </c>
      <c r="F11">
        <f>VLOOKUP(C11,SanPham!$A$2:$C$8,3,FALSE)</f>
        <v/>
      </c>
      <c r="G11">
        <f>D11*F11</f>
        <v/>
      </c>
    </row>
    <row r="12" hidden="1">
      <c r="A12" t="inlineStr">
        <is>
          <t>DB011</t>
        </is>
      </c>
      <c r="B12" t="inlineStr">
        <is>
          <t>2025-10-11</t>
        </is>
      </c>
      <c r="C12" t="inlineStr">
        <is>
          <t>GI01</t>
        </is>
      </c>
      <c r="D12" t="n">
        <v>2</v>
      </c>
      <c r="E12">
        <f>VLOOKUP(C12,SanPham!$A$2:$C$8,2,FALSE)</f>
        <v/>
      </c>
      <c r="F12">
        <f>VLOOKUP(C12,SanPham!$A$2:$C$8,3,FALSE)</f>
        <v/>
      </c>
      <c r="G12">
        <f>D12*F12</f>
        <v/>
      </c>
    </row>
    <row r="13" hidden="1">
      <c r="A13" t="inlineStr">
        <is>
          <t>DB012</t>
        </is>
      </c>
      <c r="B13" t="inlineStr">
        <is>
          <t>2025-10-12</t>
        </is>
      </c>
      <c r="C13" t="inlineStr">
        <is>
          <t>VO01</t>
        </is>
      </c>
      <c r="D13" t="n">
        <v>3</v>
      </c>
      <c r="E13">
        <f>VLOOKUP(C13,SanPham!$A$2:$C$8,2,FALSE)</f>
        <v/>
      </c>
      <c r="F13">
        <f>VLOOKUP(C13,SanPham!$A$2:$C$8,3,FALSE)</f>
        <v/>
      </c>
      <c r="G13">
        <f>D13*F13</f>
        <v/>
      </c>
    </row>
    <row r="14" hidden="1">
      <c r="A14" t="inlineStr">
        <is>
          <t>DB013</t>
        </is>
      </c>
      <c r="B14" t="inlineStr">
        <is>
          <t>2025-10-13</t>
        </is>
      </c>
      <c r="C14" t="inlineStr">
        <is>
          <t>BB01</t>
        </is>
      </c>
      <c r="D14" t="n">
        <v>5</v>
      </c>
      <c r="E14">
        <f>VLOOKUP(C14,SanPham!$A$2:$C$8,2,FALSE)</f>
        <v/>
      </c>
      <c r="F14">
        <f>VLOOKUP(C14,SanPham!$A$2:$C$8,3,FALSE)</f>
        <v/>
      </c>
      <c r="G14">
        <f>D14*F14</f>
        <v/>
      </c>
    </row>
    <row r="15">
      <c r="A15" t="inlineStr">
        <is>
          <t>DB014</t>
        </is>
      </c>
      <c r="B15" t="inlineStr">
        <is>
          <t>2025-10-14</t>
        </is>
      </c>
      <c r="C15" t="inlineStr">
        <is>
          <t>KE01</t>
        </is>
      </c>
      <c r="D15" t="n">
        <v>4</v>
      </c>
      <c r="E15">
        <f>VLOOKUP(C15,SanPham!$A$2:$C$8,2,FALSE)</f>
        <v/>
      </c>
      <c r="F15">
        <f>VLOOKUP(C15,SanPham!$A$2:$C$8,3,FALSE)</f>
        <v/>
      </c>
      <c r="G15">
        <f>D15*F15</f>
        <v/>
      </c>
    </row>
    <row r="16" hidden="1">
      <c r="A16" t="inlineStr">
        <is>
          <t>DB015</t>
        </is>
      </c>
      <c r="B16" t="inlineStr">
        <is>
          <t>2025-10-15</t>
        </is>
      </c>
      <c r="C16" t="inlineStr">
        <is>
          <t>HO01</t>
        </is>
      </c>
      <c r="D16" t="n">
        <v>5</v>
      </c>
      <c r="E16">
        <f>VLOOKUP(C16,SanPham!$A$2:$C$8,2,FALSE)</f>
        <v/>
      </c>
      <c r="F16">
        <f>VLOOKUP(C16,SanPham!$A$2:$C$8,3,FALSE)</f>
        <v/>
      </c>
      <c r="G16">
        <f>D16*F16</f>
        <v/>
      </c>
    </row>
  </sheetData>
  <autoFilter ref="A1:G16">
    <filterColumn colId="6" hiddenButton="0" showButton="1">
      <customFilters>
        <customFilter val="300000" operator="greaterThanOrEqual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ma_sp</t>
        </is>
      </c>
      <c r="B1" t="inlineStr">
        <is>
          <t>ten_sp</t>
        </is>
      </c>
      <c r="C1" t="inlineStr">
        <is>
          <t>gia_ban</t>
        </is>
      </c>
    </row>
    <row r="2">
      <c r="A2" t="inlineStr">
        <is>
          <t>BB01</t>
        </is>
      </c>
      <c r="B2" t="inlineStr">
        <is>
          <t>Bo but bi 10 chiec</t>
        </is>
      </c>
      <c r="C2" t="n">
        <v>35000</v>
      </c>
    </row>
    <row r="3">
      <c r="A3" t="inlineStr">
        <is>
          <t>VO01</t>
        </is>
      </c>
      <c r="B3" t="inlineStr">
        <is>
          <t>Loc vo 5 quyen</t>
        </is>
      </c>
      <c r="C3" t="n">
        <v>60000</v>
      </c>
    </row>
    <row r="4">
      <c r="A4" t="inlineStr">
        <is>
          <t>GI01</t>
        </is>
      </c>
      <c r="B4" t="inlineStr">
        <is>
          <t>Giay A4 500 to</t>
        </is>
      </c>
      <c r="C4" t="n">
        <v>75000</v>
      </c>
    </row>
    <row r="5">
      <c r="A5" t="inlineStr">
        <is>
          <t>BA01</t>
        </is>
      </c>
      <c r="B5" t="inlineStr">
        <is>
          <t>Balo hoc sinh</t>
        </is>
      </c>
      <c r="C5" t="n">
        <v>250000</v>
      </c>
    </row>
    <row r="6">
      <c r="A6" t="inlineStr">
        <is>
          <t>MT01</t>
        </is>
      </c>
      <c r="B6" t="inlineStr">
        <is>
          <t>May tinh bo tui</t>
        </is>
      </c>
      <c r="C6" t="n">
        <v>150000</v>
      </c>
    </row>
    <row r="7">
      <c r="A7" t="inlineStr">
        <is>
          <t>KE01</t>
        </is>
      </c>
      <c r="B7" t="inlineStr">
        <is>
          <t>Ke sach mini</t>
        </is>
      </c>
      <c r="C7" t="n">
        <v>100000</v>
      </c>
    </row>
    <row r="8">
      <c r="A8" t="inlineStr">
        <is>
          <t>HO01</t>
        </is>
      </c>
      <c r="B8" t="inlineStr">
        <is>
          <t>Hop but da nang</t>
        </is>
      </c>
      <c r="C8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2026-10-19T09:41:35Z</dcterms:created>
  <dcterms:modified xmlns:dcterms="http://purl.org/dc/terms/" xmlns:xsi="http://www.w3.org/2001/XMLSchema-instance" xsi:type="dcterms:W3CDTF">2026-10-23T02:42:49Z</dcterms:modified>
</cp:coreProperties>
</file>